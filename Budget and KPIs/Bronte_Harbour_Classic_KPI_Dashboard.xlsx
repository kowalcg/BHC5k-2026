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nthly Data" sheetId="1" r:id="rId1"/>
    <sheet name="Channel Performance" sheetId="2" r:id="rId2"/>
    <sheet name="Milestones" sheetId="3" r:id="rId3"/>
    <sheet name="Dashboard" sheetId="4" r:id="rId4"/>
  </sheets>
  <calcPr calcId="124519" fullCalcOnLoad="1"/>
</workbook>
</file>

<file path=xl/sharedStrings.xml><?xml version="1.0" encoding="utf-8"?>
<sst xmlns="http://schemas.openxmlformats.org/spreadsheetml/2006/main" count="81" uniqueCount="73">
  <si>
    <t>Month</t>
  </si>
  <si>
    <t>Target Signups (500)</t>
  </si>
  <si>
    <t>Target Signups (750)</t>
  </si>
  <si>
    <t>Actual Signups</t>
  </si>
  <si>
    <t>Cumulative Actual</t>
  </si>
  <si>
    <t>% to Goal (500)</t>
  </si>
  <si>
    <t>% to Goal (750)</t>
  </si>
  <si>
    <t>Monthly Growth %</t>
  </si>
  <si>
    <t>Early Bird Cutoff?</t>
  </si>
  <si>
    <t>Notes</t>
  </si>
  <si>
    <t>Oct 2025</t>
  </si>
  <si>
    <t>Nov 2025</t>
  </si>
  <si>
    <t>Dec 2025</t>
  </si>
  <si>
    <t>Jan 2026</t>
  </si>
  <si>
    <t>Feb 2026</t>
  </si>
  <si>
    <t>Mar 2026</t>
  </si>
  <si>
    <t>Apr 2026</t>
  </si>
  <si>
    <t>May 2026</t>
  </si>
  <si>
    <t>Jun 2026</t>
  </si>
  <si>
    <t>Yes</t>
  </si>
  <si>
    <t>Channel</t>
  </si>
  <si>
    <t>Signups</t>
  </si>
  <si>
    <t>% of Total</t>
  </si>
  <si>
    <t>Cost ($)</t>
  </si>
  <si>
    <t>Cost per Signup ($)</t>
  </si>
  <si>
    <t>Bronte Runners</t>
  </si>
  <si>
    <t>Instagram</t>
  </si>
  <si>
    <t>Email</t>
  </si>
  <si>
    <t>Expos/Booths</t>
  </si>
  <si>
    <t>Partners/Clubs</t>
  </si>
  <si>
    <t>Other</t>
  </si>
  <si>
    <t>Date</t>
  </si>
  <si>
    <t>Event</t>
  </si>
  <si>
    <t>Objective</t>
  </si>
  <si>
    <t>Owner</t>
  </si>
  <si>
    <t>Status</t>
  </si>
  <si>
    <t>Oct 17–18, 2025</t>
  </si>
  <si>
    <t>Nov 9, 2025</t>
  </si>
  <si>
    <t>Jan 15, 2026</t>
  </si>
  <si>
    <t>Mar 1, 2026</t>
  </si>
  <si>
    <t>May 15, 2026</t>
  </si>
  <si>
    <t>Jun 21, 2026</t>
  </si>
  <si>
    <t>Toronto Waterfront Marathon Expo</t>
  </si>
  <si>
    <t>Run of Hope Weekend – Promo Ends</t>
  </si>
  <si>
    <t>Winter Promo Push</t>
  </si>
  <si>
    <t>Spring Registration Push</t>
  </si>
  <si>
    <t>Early Bird 2 Cutoff</t>
  </si>
  <si>
    <t>Race Day</t>
  </si>
  <si>
    <t>Collect 100 leads</t>
  </si>
  <si>
    <t>Convert leads to signups</t>
  </si>
  <si>
    <t>Reach 100 total registrations</t>
  </si>
  <si>
    <t>Hit 250 total registrations</t>
  </si>
  <si>
    <t>Hit 400 total registrations</t>
  </si>
  <si>
    <t>500–750 participants</t>
  </si>
  <si>
    <t>Greg + Yasmin</t>
  </si>
  <si>
    <t>Charles</t>
  </si>
  <si>
    <t>Greg</t>
  </si>
  <si>
    <t>Yasmin</t>
  </si>
  <si>
    <t>All</t>
  </si>
  <si>
    <t>Planned</t>
  </si>
  <si>
    <t>TOTAL</t>
  </si>
  <si>
    <t>Bronte Harbour Classic 5K – KPI Dashboard</t>
  </si>
  <si>
    <t>Core KPIs</t>
  </si>
  <si>
    <t>Total Registrations (to-date)</t>
  </si>
  <si>
    <t>Progress to 500 Goal</t>
  </si>
  <si>
    <t>Progress to 750 Stretch Goal</t>
  </si>
  <si>
    <t>Average Monthly Signups (to-date)</t>
  </si>
  <si>
    <t>Channel Performance</t>
  </si>
  <si>
    <t>Top Channel Signups (to-date)</t>
  </si>
  <si>
    <t>Total Channel-Attributed Signups</t>
  </si>
  <si>
    <t>Cumulative Target (500)</t>
  </si>
  <si>
    <t>Cumulative Target (750)</t>
  </si>
  <si>
    <t>• Enter monthly Actual Signups in the "Monthly Data" sheet; dashboard updates automatically.
• Use "Channel Performance" to attribute signups and track acquisition costs.
• Cumulative chart compares your progress to 500 (goal) and 750 (stretch) targets.
• Update milestones as you complete promotions, expos, and partner pushes.</t>
  </si>
</sst>
</file>

<file path=xl/styles.xml><?xml version="1.0" encoding="utf-8"?>
<styleSheet xmlns="http://schemas.openxmlformats.org/spreadsheetml/2006/main">
  <numFmts count="2">
    <numFmt numFmtId="164" formatCode="0%"/>
    <numFmt numFmtId="165" formatCode="$#,##0.00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165" fontId="0" fillId="0" borderId="0" xfId="0" applyNumberFormat="1"/>
    <xf numFmtId="0" fontId="2" fillId="0" borderId="0" xfId="0" applyFont="1"/>
    <xf numFmtId="0" fontId="3" fillId="0" borderId="0" xfId="0" applyFont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Cumulative Registrations vs Targets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Cumulative Actual</c:v>
          </c:tx>
          <c:marker>
            <c:symbol val="circle"/>
          </c:marker>
          <c:cat>
            <c:strRef>
              <c:f>'Monthly Data'!$A$2:$A$10</c:f>
              <c:strCache>
                <c:ptCount val="9"/>
                <c:pt idx="0">
                  <c:v>Oct 2025</c:v>
                </c:pt>
                <c:pt idx="1">
                  <c:v>Nov 2025</c:v>
                </c:pt>
                <c:pt idx="2">
                  <c:v>Dec 2025</c:v>
                </c:pt>
                <c:pt idx="3">
                  <c:v>Jan 2026</c:v>
                </c:pt>
                <c:pt idx="4">
                  <c:v>Feb 2026</c:v>
                </c:pt>
                <c:pt idx="5">
                  <c:v>Mar 2026</c:v>
                </c:pt>
                <c:pt idx="6">
                  <c:v>Apr 2026</c:v>
                </c:pt>
                <c:pt idx="7">
                  <c:v>May 2026</c:v>
                </c:pt>
                <c:pt idx="8">
                  <c:v>Jun 2026</c:v>
                </c:pt>
              </c:strCache>
            </c:strRef>
          </c:cat>
          <c:val>
            <c:numRef>
              <c:f>'Monthly Data'!$E$2:$E$10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ser>
          <c:idx val="1"/>
          <c:order val="1"/>
          <c:tx>
            <c:v>Target (500)</c:v>
          </c:tx>
          <c:spPr>
            <a:ln>
              <a:prstDash val="dash"/>
            </a:ln>
          </c:spPr>
          <c:marker>
            <c:symbol val="none"/>
          </c:marker>
          <c:cat>
            <c:strRef>
              <c:f>'Monthly Data'!$A$2:$A$10</c:f>
              <c:strCache>
                <c:ptCount val="9"/>
                <c:pt idx="0">
                  <c:v>Oct 2025</c:v>
                </c:pt>
                <c:pt idx="1">
                  <c:v>Nov 2025</c:v>
                </c:pt>
                <c:pt idx="2">
                  <c:v>Dec 2025</c:v>
                </c:pt>
                <c:pt idx="3">
                  <c:v>Jan 2026</c:v>
                </c:pt>
                <c:pt idx="4">
                  <c:v>Feb 2026</c:v>
                </c:pt>
                <c:pt idx="5">
                  <c:v>Mar 2026</c:v>
                </c:pt>
                <c:pt idx="6">
                  <c:v>Apr 2026</c:v>
                </c:pt>
                <c:pt idx="7">
                  <c:v>May 2026</c:v>
                </c:pt>
                <c:pt idx="8">
                  <c:v>Jun 2026</c:v>
                </c:pt>
              </c:strCache>
            </c:strRef>
          </c:cat>
          <c:val>
            <c:numRef>
              <c:f>'Monthly Data'!$K$2:$K$10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ser>
          <c:idx val="2"/>
          <c:order val="2"/>
          <c:tx>
            <c:v>Target (750)</c:v>
          </c:tx>
          <c:spPr>
            <a:ln>
              <a:prstDash val="dash"/>
            </a:ln>
          </c:spPr>
          <c:marker>
            <c:symbol val="none"/>
          </c:marker>
          <c:cat>
            <c:strRef>
              <c:f>'Monthly Data'!$A$2:$A$10</c:f>
              <c:strCache>
                <c:ptCount val="9"/>
                <c:pt idx="0">
                  <c:v>Oct 2025</c:v>
                </c:pt>
                <c:pt idx="1">
                  <c:v>Nov 2025</c:v>
                </c:pt>
                <c:pt idx="2">
                  <c:v>Dec 2025</c:v>
                </c:pt>
                <c:pt idx="3">
                  <c:v>Jan 2026</c:v>
                </c:pt>
                <c:pt idx="4">
                  <c:v>Feb 2026</c:v>
                </c:pt>
                <c:pt idx="5">
                  <c:v>Mar 2026</c:v>
                </c:pt>
                <c:pt idx="6">
                  <c:v>Apr 2026</c:v>
                </c:pt>
                <c:pt idx="7">
                  <c:v>May 2026</c:v>
                </c:pt>
                <c:pt idx="8">
                  <c:v>Jun 2026</c:v>
                </c:pt>
              </c:strCache>
            </c:strRef>
          </c:cat>
          <c:val>
            <c:numRef>
              <c:f>'Monthly Data'!$L$2:$L$10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Registrations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Signups by Channel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Channel Share</c:v>
          </c:tx>
          <c:dLbls>
            <c:showPercent val="1"/>
          </c:dLbls>
          <c:cat>
            <c:strRef>
              <c:f>'Channel Performance'!$A$2:$A$7</c:f>
              <c:strCache>
                <c:ptCount val="6"/>
                <c:pt idx="0">
                  <c:v>Bronte Runners</c:v>
                </c:pt>
                <c:pt idx="1">
                  <c:v>Instagram</c:v>
                </c:pt>
                <c:pt idx="2">
                  <c:v>Email</c:v>
                </c:pt>
                <c:pt idx="3">
                  <c:v>Expos/Booths</c:v>
                </c:pt>
                <c:pt idx="4">
                  <c:v>Partners/Clubs</c:v>
                </c:pt>
                <c:pt idx="5">
                  <c:v>Other</c:v>
                </c:pt>
              </c:strCache>
            </c:strRef>
          </c:cat>
          <c:val>
            <c:numRef>
              <c:f>'Channel Performance'!$B$2:$B$7</c:f>
              <c:numCache>
                <c:formatCode>General</c:formatCode>
                <c:ptCount val="6"/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11</xdr:col>
      <xdr:colOff>295275</xdr:colOff>
      <xdr:row>21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20</xdr:row>
      <xdr:rowOff>0</xdr:rowOff>
    </xdr:from>
    <xdr:to>
      <xdr:col>9</xdr:col>
      <xdr:colOff>600075</xdr:colOff>
      <xdr:row>35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0"/>
  <sheetViews>
    <sheetView tabSelected="1" workbookViewId="0"/>
  </sheetViews>
  <sheetFormatPr defaultRowHeight="15"/>
  <cols>
    <col min="1" max="1" width="14.7109375" customWidth="1"/>
    <col min="2" max="3" width="18.7109375" customWidth="1"/>
    <col min="4" max="5" width="16.7109375" customWidth="1"/>
    <col min="6" max="8" width="16.7109375" style="1" customWidth="1"/>
    <col min="9" max="10" width="22.7109375" customWidth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70</v>
      </c>
      <c r="L1" s="3" t="s">
        <v>71</v>
      </c>
    </row>
    <row r="2" spans="1:12">
      <c r="A2" t="s">
        <v>10</v>
      </c>
      <c r="B2">
        <v>25</v>
      </c>
      <c r="C2">
        <v>40</v>
      </c>
      <c r="E2">
        <f>IFERROR(D2, "")</f>
        <v>0</v>
      </c>
      <c r="F2" s="1">
        <f>IF(E2="","",E2/500)</f>
        <v>0</v>
      </c>
      <c r="G2" s="1">
        <f>IF(E2="","",E2/750)</f>
        <v>0</v>
      </c>
      <c r="H2" s="1">
        <f>IF(D2="","",NA())</f>
        <v>0</v>
      </c>
      <c r="K2">
        <f>B2</f>
        <v>0</v>
      </c>
      <c r="L2">
        <f>C2</f>
        <v>0</v>
      </c>
    </row>
    <row r="3" spans="1:12">
      <c r="A3" t="s">
        <v>11</v>
      </c>
      <c r="B3">
        <v>20</v>
      </c>
      <c r="C3">
        <v>30</v>
      </c>
      <c r="E3">
        <f>IF(D3="","",E2+D3)</f>
        <v>0</v>
      </c>
      <c r="F3" s="1">
        <f>IF(E3="","",E3/500)</f>
        <v>0</v>
      </c>
      <c r="G3" s="1">
        <f>IF(E3="","",E3/750)</f>
        <v>0</v>
      </c>
      <c r="H3" s="1">
        <f>IF(OR(D3="",D2=""),"",IFERROR((D3-D2)/D2, ""))</f>
        <v>0</v>
      </c>
      <c r="K3">
        <f>K2+B3</f>
        <v>0</v>
      </c>
      <c r="L3">
        <f>L2+C3</f>
        <v>0</v>
      </c>
    </row>
    <row r="4" spans="1:12">
      <c r="A4" t="s">
        <v>12</v>
      </c>
      <c r="B4">
        <v>12</v>
      </c>
      <c r="C4">
        <v>20</v>
      </c>
      <c r="E4">
        <f>IF(D4="","",E3+D4)</f>
        <v>0</v>
      </c>
      <c r="F4" s="1">
        <f>IF(E4="","",E4/500)</f>
        <v>0</v>
      </c>
      <c r="G4" s="1">
        <f>IF(E4="","",E4/750)</f>
        <v>0</v>
      </c>
      <c r="H4" s="1">
        <f>IF(OR(D4="",D3=""),"",IFERROR((D4-D3)/D3, ""))</f>
        <v>0</v>
      </c>
      <c r="K4">
        <f>K3+B4</f>
        <v>0</v>
      </c>
      <c r="L4">
        <f>L3+C4</f>
        <v>0</v>
      </c>
    </row>
    <row r="5" spans="1:12">
      <c r="A5" t="s">
        <v>13</v>
      </c>
      <c r="B5">
        <v>13</v>
      </c>
      <c r="C5">
        <v>20</v>
      </c>
      <c r="E5">
        <f>IF(D5="","",E4+D5)</f>
        <v>0</v>
      </c>
      <c r="F5" s="1">
        <f>IF(E5="","",E5/500)</f>
        <v>0</v>
      </c>
      <c r="G5" s="1">
        <f>IF(E5="","",E5/750)</f>
        <v>0</v>
      </c>
      <c r="H5" s="1">
        <f>IF(OR(D5="",D4=""),"",IFERROR((D5-D4)/D4, ""))</f>
        <v>0</v>
      </c>
      <c r="K5">
        <f>K4+B5</f>
        <v>0</v>
      </c>
      <c r="L5">
        <f>L4+C5</f>
        <v>0</v>
      </c>
    </row>
    <row r="6" spans="1:12">
      <c r="A6" t="s">
        <v>14</v>
      </c>
      <c r="B6">
        <v>50</v>
      </c>
      <c r="C6">
        <v>75</v>
      </c>
      <c r="E6">
        <f>IF(D6="","",E5+D6)</f>
        <v>0</v>
      </c>
      <c r="F6" s="1">
        <f>IF(E6="","",E6/500)</f>
        <v>0</v>
      </c>
      <c r="G6" s="1">
        <f>IF(E6="","",E6/750)</f>
        <v>0</v>
      </c>
      <c r="H6" s="1">
        <f>IF(OR(D6="",D5=""),"",IFERROR((D6-D5)/D5, ""))</f>
        <v>0</v>
      </c>
      <c r="K6">
        <f>K5+B6</f>
        <v>0</v>
      </c>
      <c r="L6">
        <f>L5+C6</f>
        <v>0</v>
      </c>
    </row>
    <row r="7" spans="1:12">
      <c r="A7" t="s">
        <v>15</v>
      </c>
      <c r="B7">
        <v>75</v>
      </c>
      <c r="C7">
        <v>110</v>
      </c>
      <c r="E7">
        <f>IF(D7="","",E6+D7)</f>
        <v>0</v>
      </c>
      <c r="F7" s="1">
        <f>IF(E7="","",E7/500)</f>
        <v>0</v>
      </c>
      <c r="G7" s="1">
        <f>IF(E7="","",E7/750)</f>
        <v>0</v>
      </c>
      <c r="H7" s="1">
        <f>IF(OR(D7="",D6=""),"",IFERROR((D7-D6)/D6, ""))</f>
        <v>0</v>
      </c>
      <c r="K7">
        <f>K6+B7</f>
        <v>0</v>
      </c>
      <c r="L7">
        <f>L6+C7</f>
        <v>0</v>
      </c>
    </row>
    <row r="8" spans="1:12">
      <c r="A8" t="s">
        <v>16</v>
      </c>
      <c r="B8">
        <v>100</v>
      </c>
      <c r="C8">
        <v>150</v>
      </c>
      <c r="E8">
        <f>IF(D8="","",E7+D8)</f>
        <v>0</v>
      </c>
      <c r="F8" s="1">
        <f>IF(E8="","",E8/500)</f>
        <v>0</v>
      </c>
      <c r="G8" s="1">
        <f>IF(E8="","",E8/750)</f>
        <v>0</v>
      </c>
      <c r="H8" s="1">
        <f>IF(OR(D8="",D7=""),"",IFERROR((D8-D7)/D7, ""))</f>
        <v>0</v>
      </c>
      <c r="I8" t="s">
        <v>19</v>
      </c>
      <c r="K8">
        <f>K7+B8</f>
        <v>0</v>
      </c>
      <c r="L8">
        <f>L7+C8</f>
        <v>0</v>
      </c>
    </row>
    <row r="9" spans="1:12">
      <c r="A9" t="s">
        <v>17</v>
      </c>
      <c r="B9">
        <v>125</v>
      </c>
      <c r="C9">
        <v>185</v>
      </c>
      <c r="E9">
        <f>IF(D9="","",E8+D9)</f>
        <v>0</v>
      </c>
      <c r="F9" s="1">
        <f>IF(E9="","",E9/500)</f>
        <v>0</v>
      </c>
      <c r="G9" s="1">
        <f>IF(E9="","",E9/750)</f>
        <v>0</v>
      </c>
      <c r="H9" s="1">
        <f>IF(OR(D9="",D8=""),"",IFERROR((D9-D8)/D8, ""))</f>
        <v>0</v>
      </c>
      <c r="K9">
        <f>K8+B9</f>
        <v>0</v>
      </c>
      <c r="L9">
        <f>L8+C9</f>
        <v>0</v>
      </c>
    </row>
    <row r="10" spans="1:12">
      <c r="A10" t="s">
        <v>18</v>
      </c>
      <c r="B10">
        <v>100</v>
      </c>
      <c r="C10">
        <v>150</v>
      </c>
      <c r="E10">
        <f>IF(D10="","",E9+D10)</f>
        <v>0</v>
      </c>
      <c r="F10" s="1">
        <f>IF(E10="","",E10/500)</f>
        <v>0</v>
      </c>
      <c r="G10" s="1">
        <f>IF(E10="","",E10/750)</f>
        <v>0</v>
      </c>
      <c r="H10" s="1">
        <f>IF(OR(D10="",D9=""),"",IFERROR((D10-D9)/D9, ""))</f>
        <v>0</v>
      </c>
      <c r="K10">
        <f>K9+B10</f>
        <v>0</v>
      </c>
      <c r="L10">
        <f>L9+C10</f>
        <v>0</v>
      </c>
    </row>
  </sheetData>
  <conditionalFormatting sqref="F2:F10">
    <cfRule type="dataBar" priority="1">
      <dataBar>
        <cfvo type="min" val="0"/>
        <cfvo type="max" val="0"/>
        <color rgb="FF638EC6"/>
      </dataBar>
    </cfRule>
  </conditionalFormatting>
  <conditionalFormatting sqref="G2:G10">
    <cfRule type="dataBar" priority="2">
      <dataBar>
        <cfvo type="min" val="0"/>
        <cfvo type="max" val="0"/>
        <color rgb="FF638EC6"/>
      </dataBar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cols>
    <col min="1" max="1" width="20.7109375" customWidth="1"/>
    <col min="2" max="4" width="16.7109375" customWidth="1"/>
    <col min="5" max="5" width="18.7109375" style="4" customWidth="1"/>
    <col min="6" max="6" width="30.7109375" customWidth="1"/>
  </cols>
  <sheetData>
    <row r="1" spans="1:6">
      <c r="A1" s="2" t="s">
        <v>20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9</v>
      </c>
    </row>
    <row r="2" spans="1:6">
      <c r="A2" t="s">
        <v>25</v>
      </c>
      <c r="C2">
        <f>IF(B2="","",B2/$B$8)</f>
        <v>0</v>
      </c>
      <c r="E2" s="4">
        <f>IF(OR(B2="",C2=""),"",IFERROR(C2/B2,""))</f>
        <v>0</v>
      </c>
    </row>
    <row r="3" spans="1:6">
      <c r="A3" t="s">
        <v>26</v>
      </c>
      <c r="C3">
        <f>IF(B3="","",B3/$B$8)</f>
        <v>0</v>
      </c>
      <c r="E3" s="4">
        <f>IF(OR(B3="",C3=""),"",IFERROR(C3/B3,""))</f>
        <v>0</v>
      </c>
    </row>
    <row r="4" spans="1:6">
      <c r="A4" t="s">
        <v>27</v>
      </c>
      <c r="C4">
        <f>IF(B4="","",B4/$B$8)</f>
        <v>0</v>
      </c>
      <c r="E4" s="4">
        <f>IF(OR(B4="",C4=""),"",IFERROR(C4/B4,""))</f>
        <v>0</v>
      </c>
    </row>
    <row r="5" spans="1:6">
      <c r="A5" t="s">
        <v>28</v>
      </c>
      <c r="C5">
        <f>IF(B5="","",B5/$B$8)</f>
        <v>0</v>
      </c>
      <c r="E5" s="4">
        <f>IF(OR(B5="",C5=""),"",IFERROR(C5/B5,""))</f>
        <v>0</v>
      </c>
    </row>
    <row r="6" spans="1:6">
      <c r="A6" t="s">
        <v>29</v>
      </c>
      <c r="C6">
        <f>IF(B6="","",B6/$B$8)</f>
        <v>0</v>
      </c>
      <c r="E6" s="4">
        <f>IF(OR(B6="",C6=""),"",IFERROR(C6/B6,""))</f>
        <v>0</v>
      </c>
    </row>
    <row r="7" spans="1:6">
      <c r="A7" t="s">
        <v>30</v>
      </c>
      <c r="C7">
        <f>IF(B7="","",B7/$B$8)</f>
        <v>0</v>
      </c>
      <c r="E7" s="4">
        <f>IF(OR(B7="",C7=""),"",IFERROR(C7/B7,""))</f>
        <v>0</v>
      </c>
    </row>
    <row r="8" spans="1:6">
      <c r="A8" t="s">
        <v>60</v>
      </c>
      <c r="B8">
        <f>SUM(B2:B7)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cols>
    <col min="1" max="6" width="28.7109375" customWidth="1"/>
  </cols>
  <sheetData>
    <row r="1" spans="1:5">
      <c r="A1" s="2" t="s">
        <v>31</v>
      </c>
      <c r="B1" s="2" t="s">
        <v>32</v>
      </c>
      <c r="C1" s="2" t="s">
        <v>33</v>
      </c>
      <c r="D1" s="2" t="s">
        <v>34</v>
      </c>
      <c r="E1" s="2" t="s">
        <v>35</v>
      </c>
    </row>
    <row r="2" spans="1:5">
      <c r="A2" t="s">
        <v>36</v>
      </c>
      <c r="B2" t="s">
        <v>42</v>
      </c>
      <c r="C2" t="s">
        <v>48</v>
      </c>
      <c r="D2" t="s">
        <v>54</v>
      </c>
      <c r="E2" t="s">
        <v>59</v>
      </c>
    </row>
    <row r="3" spans="1:5">
      <c r="A3" t="s">
        <v>37</v>
      </c>
      <c r="B3" t="s">
        <v>43</v>
      </c>
      <c r="C3" t="s">
        <v>49</v>
      </c>
      <c r="D3" t="s">
        <v>55</v>
      </c>
      <c r="E3" t="s">
        <v>59</v>
      </c>
    </row>
    <row r="4" spans="1:5">
      <c r="A4" t="s">
        <v>38</v>
      </c>
      <c r="B4" t="s">
        <v>44</v>
      </c>
      <c r="C4" t="s">
        <v>50</v>
      </c>
      <c r="D4" t="s">
        <v>56</v>
      </c>
      <c r="E4" t="s">
        <v>59</v>
      </c>
    </row>
    <row r="5" spans="1:5">
      <c r="A5" t="s">
        <v>39</v>
      </c>
      <c r="B5" t="s">
        <v>45</v>
      </c>
      <c r="C5" t="s">
        <v>51</v>
      </c>
      <c r="D5" t="s">
        <v>57</v>
      </c>
      <c r="E5" t="s">
        <v>59</v>
      </c>
    </row>
    <row r="6" spans="1:5">
      <c r="A6" t="s">
        <v>40</v>
      </c>
      <c r="B6" t="s">
        <v>46</v>
      </c>
      <c r="C6" t="s">
        <v>52</v>
      </c>
      <c r="D6" t="s">
        <v>56</v>
      </c>
      <c r="E6" t="s">
        <v>59</v>
      </c>
    </row>
    <row r="7" spans="1:5">
      <c r="A7" t="s">
        <v>41</v>
      </c>
      <c r="B7" t="s">
        <v>47</v>
      </c>
      <c r="C7" t="s">
        <v>53</v>
      </c>
      <c r="D7" t="s">
        <v>58</v>
      </c>
      <c r="E7" t="s">
        <v>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sheetFormatPr defaultRowHeight="15"/>
  <cols>
    <col min="1" max="1" width="34.7109375" customWidth="1"/>
    <col min="2" max="4" width="20.7109375" customWidth="1"/>
  </cols>
  <sheetData>
    <row r="1" spans="1:2">
      <c r="A1" s="5" t="s">
        <v>61</v>
      </c>
    </row>
    <row r="3" spans="1:2">
      <c r="A3" s="3" t="s">
        <v>62</v>
      </c>
    </row>
    <row r="5" spans="1:2">
      <c r="A5" t="s">
        <v>63</v>
      </c>
      <c r="B5" s="6">
        <f>IFERROR(LOOKUP(2,1/('Monthly Data'!E:E&lt;&gt;""),'Monthly Data'!E:E),0)</f>
        <v>0</v>
      </c>
    </row>
    <row r="6" spans="1:2">
      <c r="A6" t="s">
        <v>64</v>
      </c>
      <c r="B6" s="7">
        <f>IF(B5=0,"",B5/500)</f>
        <v>0</v>
      </c>
    </row>
    <row r="7" spans="1:2">
      <c r="A7" t="s">
        <v>65</v>
      </c>
      <c r="B7" s="7">
        <f>IF(B5=0,"",B5/750)</f>
        <v>0</v>
      </c>
    </row>
    <row r="8" spans="1:2">
      <c r="A8" t="s">
        <v>66</v>
      </c>
      <c r="B8" s="6">
        <f>IFERROR(AVERAGEIF('Monthly Data'!D:D,"&gt;0",'Monthly Data'!D:D),"")</f>
        <v>0</v>
      </c>
    </row>
    <row r="10" spans="1:2">
      <c r="A10" s="3" t="s">
        <v>67</v>
      </c>
    </row>
    <row r="12" spans="1:2">
      <c r="A12" t="s">
        <v>68</v>
      </c>
      <c r="B12">
        <f>IFERROR(INDEX('Channel Performance'!A2:A7, MATCH(MAX('Channel Performance'!B2:B7), 'Channel Performance'!B2:B7, 0)),"")</f>
        <v>0</v>
      </c>
    </row>
    <row r="13" spans="1:2">
      <c r="A13" t="s">
        <v>69</v>
      </c>
      <c r="B13">
        <f>IFERROR('Channel Performance'!B8,0)</f>
        <v>0</v>
      </c>
    </row>
    <row r="21" spans="1:1">
      <c r="A21" s="3" t="s">
        <v>9</v>
      </c>
    </row>
    <row r="22" spans="1:1">
      <c r="A22" t="s">
        <v>72</v>
      </c>
    </row>
  </sheetData>
  <conditionalFormatting sqref="B6:B7">
    <cfRule type="dataBar" priority="1">
      <dataBar>
        <cfvo type="min" val="0"/>
        <cfvo type="max" val="0"/>
        <color rgb="FF638EC6"/>
      </dataBar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Monthly Data</vt:lpstr>
      <vt:lpstr>Channel Performance</vt:lpstr>
      <vt:lpstr>Milestones</vt:lpstr>
      <vt:lpstr>Dashboard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2025-10-13T14:49:57Z</dcterms:created>
  <dcterms:modified xsi:type="dcterms:W3CDTF">2025-10-13T14:49:57Z</dcterms:modified>
</cp:coreProperties>
</file>